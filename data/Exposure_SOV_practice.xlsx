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3"/>
  </bookViews>
  <sheets>
    <sheet r:id="rId1" sheetId="1" name="READ ME FIRST"/>
    <sheet r:id="rId2" sheetId="2" name="Broker A - Meridian"/>
    <sheet r:id="rId3" sheetId="3" name="Broker B - Castlegate"/>
    <sheet r:id="rId4" sheetId="4" name="GROUND TRUTH (do not peek)"/>
  </sheets>
  <calcPr fullCalcOnLoad="1"/>
</workbook>
</file>

<file path=xl/sharedStrings.xml><?xml version="1.0" encoding="utf-8"?>
<sst xmlns="http://schemas.openxmlformats.org/spreadsheetml/2006/main" count="205" uniqueCount="138">
  <si>
    <t>⚠  REFERENCE ANSWERS – for scoring your extractor ONLY. Do NOT feed this sheet to the model.</t>
  </si>
  <si>
    <t>Source</t>
  </si>
  <si>
    <t>Ref</t>
  </si>
  <si>
    <t>Normalized Address</t>
  </si>
  <si>
    <t>TIV (£)</t>
  </si>
  <si>
    <t>Construction (normalized)</t>
  </si>
  <si>
    <t>Occupancy (normalized)</t>
  </si>
  <si>
    <t>Year Built</t>
  </si>
  <si>
    <t>Storeys</t>
  </si>
  <si>
    <t>Floor Area (sq ft)</t>
  </si>
  <si>
    <t>Sprinklered</t>
  </si>
  <si>
    <t>Ambiguity / note</t>
  </si>
  <si>
    <t>A</t>
  </si>
  <si>
    <t>Unit 4, Avonmouth Distribution Park, Bristol BS11 8DL</t>
  </si>
  <si>
    <t>Steel Frame</t>
  </si>
  <si>
    <t>Warehouse/Storage</t>
  </si>
  <si>
    <t>Y</t>
  </si>
  <si>
    <t>12 Kingsway Trading Estate, Birmingham B18 6NF</t>
  </si>
  <si>
    <t>Masonry</t>
  </si>
  <si>
    <t>Manufacturing</t>
  </si>
  <si>
    <t>&amp;apos;Masonary&amp;apos; = typo for Masonry; &amp;apos;Light industrial&amp;apos; -&gt; Manufacturing</t>
  </si>
  <si>
    <t>7 Dockside Road, Liverpool L20 1BX</t>
  </si>
  <si>
    <t>Reinforced Concrete</t>
  </si>
  <si>
    <t>UNKNOWN</t>
  </si>
  <si>
    <t>N</t>
  </si>
  <si>
    <t>&amp;apos;£2.4m&amp;apos; text -&gt; 2,400,000; year blank -&gt; UNKNOWN</t>
  </si>
  <si>
    <t>Suite 3, Meridian House, 40 High St, Leeds LS1 4DT</t>
  </si>
  <si>
    <t>Office</t>
  </si>
  <si>
    <t>&amp;apos;Concrete&amp;apos; ambiguous -&gt; assumed Reinforced Concrete (low confidence)</t>
  </si>
  <si>
    <t>Retail Unit 2, Gallows Corner Retail Park, Romford RM3 0BB</t>
  </si>
  <si>
    <t>Mixed/Other</t>
  </si>
  <si>
    <t>&amp;apos;Mixed use&amp;apos; ambiguous; retail-park context suggests Retail</t>
  </si>
  <si>
    <t>88 Canal Street, Manchester M1 3WD</t>
  </si>
  <si>
    <t>Retail</t>
  </si>
  <si>
    <t>construction blank -&gt; UNKNOWN (needs enrichment/human)</t>
  </si>
  <si>
    <t>B</t>
  </si>
  <si>
    <t>P-01</t>
  </si>
  <si>
    <t>145 Briggate, Leeds, LS1 6HW</t>
  </si>
  <si>
    <t>GIA 320 sqm -&gt; 3,444 sq ft; &amp;apos;sprinklers throughout&amp;apos; -&gt; Y</t>
  </si>
  <si>
    <t>P-02</t>
  </si>
  <si>
    <t>Trafford Park, Manchester M17 1WA</t>
  </si>
  <si>
    <t>free-text -&gt; Steel Frame; &amp;apos;cash &amp; carry&amp;apos; -&gt; Retail (warehouse-style, ambiguous); &amp;apos;circa 1988&amp;apos; -&gt; 1988 approx; &amp;apos;None&amp;apos; -&gt; N</t>
  </si>
  <si>
    <t>P-03</t>
  </si>
  <si>
    <t>22 St Marys St, Cardiff CF10 1AT</t>
  </si>
  <si>
    <t>Timber Frame</t>
  </si>
  <si>
    <t>Restaurant</t>
  </si>
  <si>
    <t>&amp;apos;TBC&amp;apos; -&gt; UNKNOWN TIV; &amp;apos;pre-1900&amp;apos; -&gt; UNKNOWN/&lt;1900; listed bldg flag; &amp;apos;N/A&amp;apos; sprinkler -&gt; UNKNOWN</t>
  </si>
  <si>
    <t>P-04</t>
  </si>
  <si>
    <t>Junction 28 Logistics Pk, Derby DE55 4QT</t>
  </si>
  <si>
    <t>free-text -&gt; Steel Frame; &amp;apos;early 90s&amp;apos; vs Age 1993 -&gt; 1993; GIA 14,800 sqm -&gt; 159,306 sq ft</t>
  </si>
  <si>
    <t>P-05</t>
  </si>
  <si>
    <t>INCOMPLETE - &amp;apos;see broker note&amp;apos;</t>
  </si>
  <si>
    <t>address incomplete -&gt; flag; &amp;apos;RC frame&amp;apos; -&gt; Reinforced Concrete; &amp;apos;office/showroom&amp;apos; -&gt; Mixed/Other; 1,100 sqm -&gt; 11,840 sq ft</t>
  </si>
  <si>
    <t>P-06</t>
  </si>
  <si>
    <t>Unit 9, Eastgate Ind. Est., Glasgow G32 8RG</t>
  </si>
  <si>
    <t>&amp;apos;Concrete&amp;apos; -&gt; assumed RC (low conf); value blank -&gt; UNKNOWN; year blank -&gt; UNKNOWN; 890 sqm -&gt; 9,580 sq ft</t>
  </si>
  <si>
    <t>Controlled vocab – Construction:</t>
  </si>
  <si>
    <t>{Steel Frame | Reinforced Concrete | Masonry | Timber Frame | UNKNOWN}</t>
  </si>
  <si>
    <t>Controlled vocab – Occupancy:</t>
  </si>
  <si>
    <t>{Warehouse/Storage | Office | Retail | Restaurant | Manufacturing | Mixed/Other | UNKNOWN}</t>
  </si>
  <si>
    <t>STATEMENT OF VALUES  —  Pinnacle Retail Group  (2025 Renewal)</t>
  </si>
  <si>
    <t>Prepared by Castlegate Underwriting Solutions   |   Broker ref: CG-2025-0417   |   Currency: GBP</t>
  </si>
  <si>
    <t>Location</t>
  </si>
  <si>
    <t>Declared Value</t>
  </si>
  <si>
    <t>Wall/Frame</t>
  </si>
  <si>
    <t>Trade/Use</t>
  </si>
  <si>
    <t>Age</t>
  </si>
  <si>
    <t>GIA (sqm)</t>
  </si>
  <si>
    <t>Fire Protection</t>
  </si>
  <si>
    <t>Ground floor retail, 145 Briggate,&amp;#10;Leeds, LS1 6HW</t>
  </si>
  <si>
    <t>Brick / masonry</t>
  </si>
  <si>
    <t>Retail (fashion)</t>
  </si>
  <si>
    <t>Sprinklers throughout</t>
  </si>
  <si>
    <t>Cash &amp; carry warehouse, Trafford Park, Manchester M17 1WA</t>
  </si>
  <si>
    <t>Steel portal frame, brick infill</t>
  </si>
  <si>
    <t>Cash &amp; carry</t>
  </si>
  <si>
    <t>circa 1988</t>
  </si>
  <si>
    <t>None</t>
  </si>
  <si>
    <t>Restaurant premises, 22 St Marys St, Cardiff CF10 1AT</t>
  </si>
  <si>
    <t>TBC</t>
  </si>
  <si>
    <t>Timber frame (listed bldg)</t>
  </si>
  <si>
    <t>pre-1900</t>
  </si>
  <si>
    <t>N/A</t>
  </si>
  <si>
    <t>Distribution hub, Junction 28 Logistics Pk, Derby DE55 4QT</t>
  </si>
  <si>
    <t>Steel-frame, insulated cladding, built early 90s</t>
  </si>
  <si>
    <t>Storage &amp; distribution</t>
  </si>
  <si>
    <t>Sprinklered + hydrants</t>
  </si>
  <si>
    <t>Office &amp; showroom, see broker note</t>
  </si>
  <si>
    <t>RC frame</t>
  </si>
  <si>
    <t>Office / showroom</t>
  </si>
  <si>
    <t>Yes</t>
  </si>
  <si>
    <t>Concrete</t>
  </si>
  <si>
    <t>Light manufacturing</t>
  </si>
  <si>
    <t>Unknown</t>
  </si>
  <si>
    <t>broker&amp;apos;s stated portfolio total (does not reconcile – 2 values missing):</t>
  </si>
  <si>
    <t>Loc #</t>
  </si>
  <si>
    <t>Property Address</t>
  </si>
  <si>
    <t>Sum Insured (£)</t>
  </si>
  <si>
    <t>Construction</t>
  </si>
  <si>
    <t>Occupancy</t>
  </si>
  <si>
    <t>Yr Built</t>
  </si>
  <si>
    <t>Floors</t>
  </si>
  <si>
    <t>Area (sq ft)</t>
  </si>
  <si>
    <t>Sprinklers</t>
  </si>
  <si>
    <t>Warehouse</t>
  </si>
  <si>
    <t>Masonary</t>
  </si>
  <si>
    <t>Light industrial</t>
  </si>
  <si>
    <t>£2.4m</t>
  </si>
  <si>
    <t>Mixed use</t>
  </si>
  <si>
    <t>PORTFOLIO TOTAL</t>
  </si>
  <si>
    <t>Exposure Intelligence – Practice Dataset (Statements of Values)</t>
  </si>
  <si>
    <t>WHAT THIS IS</t>
  </si>
  <si>
    <t>Two synthetic Statements of Values (SOVs) from two different brokers, plus a hidden ground-truth sheet.</t>
  </si>
  <si>
    <t>Everything here is fabricated for practice – no real client data. This is your Task 1 study material.</t>
  </si>
  <si>
    <t>HOW TO USE IT</t>
  </si>
  <si>
    <t>1. Study &amp;apos;Broker A&amp;apos; and &amp;apos;Broker B&amp;apos;. Notice they describe similar portfolios but in totally different layouts.</t>
  </si>
  <si>
    <t>2. Do NOT open GROUND TRUTH until you want to score an extractor – it holds the correct normalized answers.</t>
  </si>
  <si>
    <t>3. Later, feed Broker A/B to your pipeline and compare its output against GROUND TRUTH to measure accuracy.</t>
  </si>
  <si>
    <t>YOUR TARGET SCHEMA (the 8–10 fields to extract &amp; normalize)</t>
  </si>
  <si>
    <t>Address  |  TIV (£)  |  Construction  |  Occupancy  |  Year Built  |  Storeys  |  Floor Area (sq ft)  |  Sprinklered</t>
  </si>
  <si>
    <t>Construction vocab: Steel Frame | Reinforced Concrete | Masonry | Timber Frame | UNKNOWN</t>
  </si>
  <si>
    <t>Occupancy vocab:    Warehouse/Storage | Office | Retail | Restaurant | Manufacturing | Mixed/Other | UNKNOWN</t>
  </si>
  <si>
    <t>Always allow UNKNOWN – never force a guess (this is the Paper 1 lesson).</t>
  </si>
  <si>
    <t>THE DELIBERATE MESS – why a plain Excel/rule cannot do this (find each of these yourself as you study):</t>
  </si>
  <si>
    <t>• Different column names per broker: &amp;apos;Construction&amp;apos; vs &amp;apos;Wall/Frame&amp;apos;; &amp;apos;Occupancy&amp;apos; vs &amp;apos;Trade/Use&amp;apos;; &amp;apos;Sum Insured&amp;apos; vs &amp;apos;Declared Value&amp;apos;.</t>
  </si>
  <si>
    <t>• Different layout: Broker B has a merged title, a sub-line, a blank row, and headers only on row 4 (not row 1).</t>
  </si>
  <si>
    <t>• Free text instead of clean codes: &amp;apos;Steel portal frame, brick infill&amp;apos;; &amp;apos;Steel-frame, insulated cladding, built early 90s&amp;apos;.</t>
  </si>
  <si>
    <t>• Inconsistent units: Broker A area in sq ft; Broker B in sqm (GIA). Must be converted to one unit.</t>
  </si>
  <si>
    <t>• Values as text/shorthand: &amp;apos;£2.4m&amp;apos; instead of 2400000; &amp;apos;TBC&amp;apos; and blanks for value.</t>
  </si>
  <si>
    <t>• Fuzzy years: &amp;apos;circa 1988&amp;apos;, &amp;apos;pre-1900&amp;apos;, &amp;apos;built early 90s&amp;apos; vs a real year in another column.</t>
  </si>
  <si>
    <t>• Typos: &amp;apos;Masonary&amp;apos; (Masonry). Ambiguous terms: &amp;apos;Concrete&amp;apos; (RC? block?), &amp;apos;Mixed use&amp;apos;, &amp;apos;Cash &amp; carry&amp;apos;.</t>
  </si>
  <si>
    <t>• Missing / incomplete: blank construction; blank value; address = &amp;apos;see broker note&amp;apos;.</t>
  </si>
  <si>
    <t>• Sprinkler stated many ways: &amp;apos;Y&amp;apos; / &amp;apos;Sprinklers throughout&amp;apos; / &amp;apos;Sprinklered + hydrants&amp;apos; / &amp;apos;None&amp;apos; / &amp;apos;N/A&amp;apos; / &amp;apos;Unknown&amp;apos; / &amp;apos;Yes&amp;apos;.</t>
  </si>
  <si>
    <t>• A SUM trap: Broker A&amp;apos;s total formula silently under-counts because &amp;apos;£2.4m&amp;apos; is text, not a number.</t>
  </si>
  <si>
    <t>• Broker B&amp;apos;s stated total does not reconcile because two values are missing (TBC / blank).</t>
  </si>
  <si>
    <t>WHAT TO PRODUCE FROM TASK 1 (no code yet)</t>
  </si>
  <si>
    <t>A short notes file with: (a) a glossary of what each column means, (b) your chosen 8–10 target fields,</t>
  </si>
  <si>
    <t>(c) your own list of every messy/ambiguous cell you spotted above. That list = your future validation checklist.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</si>
</sst>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10" x14ac:knownFonts="1">
    <font>
      <sz val="11"/>
      <color theme="1"/>
      <name val="Calibri"/>
      <family val="2"/>
      <scheme val="minor"/>
    </font>
    <font>
      <b/>
      <sz val="11"/>
      <color rgb="FF9c0006"/>
      <name val="Arial"/>
      <family val="2"/>
    </font>
    <font>
      <b/>
      <sz val="11"/>
      <color rgb="FFffffff"/>
      <name val="Arial"/>
      <family val="2"/>
    </font>
    <font>
      <sz val="10"/>
      <color theme="1"/>
      <name val="Arial"/>
      <family val="2"/>
    </font>
    <font>
      <i/>
      <sz val="9"/>
      <color rgb="FF777777"/>
      <name val="Arial"/>
      <family val="2"/>
    </font>
    <font>
      <b/>
      <sz val="13"/>
      <color theme="1"/>
      <name val="Arial"/>
      <family val="2"/>
    </font>
    <font>
      <i/>
      <sz val="9"/>
      <color rgb="FF555555"/>
      <name val="Arial"/>
      <family val="2"/>
    </font>
    <font>
      <b/>
      <sz val="10"/>
      <color theme="1"/>
      <name val="Arial"/>
      <family val="2"/>
    </font>
    <font>
      <b/>
      <sz val="14"/>
      <color rgb="FF1f4e78"/>
      <name val="Arial"/>
      <family val="2"/>
    </font>
    <font>
      <b/>
      <sz val="11"/>
      <color rgb="FF1f4e7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1f4e78"/>
      </patternFill>
    </fill>
  </fills>
  <borders count="4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3">
    <xf xfId="0" numFmtId="0" borderId="0" fontId="0" fillId="0"/>
    <xf xfId="0" numFmtId="0" borderId="1" applyBorder="1" fontId="1" applyFont="1" fillId="2" applyFill="1" applyAlignment="1">
      <alignment horizontal="left"/>
    </xf>
    <xf xfId="0" numFmtId="3" applyNumberFormat="1" borderId="1" applyBorder="1" fontId="1" applyFont="1" fillId="2" applyFill="1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2" applyBorder="1" fontId="2" applyFont="1" fillId="3" applyFill="1" applyAlignment="1">
      <alignment horizontal="left"/>
    </xf>
    <xf xfId="0" numFmtId="3" applyNumberFormat="1" borderId="2" applyBorder="1" fontId="2" applyFont="1" fillId="3" applyFill="1" applyAlignment="1">
      <alignment horizontal="left"/>
    </xf>
    <xf xfId="0" numFmtId="0" borderId="2" applyBorder="1" fontId="3" applyFont="1" fillId="0" applyAlignment="1">
      <alignment horizontal="left"/>
    </xf>
    <xf xfId="0" numFmtId="3" applyNumberFormat="1" borderId="2" applyBorder="1" fontId="3" applyFont="1" fillId="0" applyAlignment="1">
      <alignment horizontal="right"/>
    </xf>
    <xf xfId="0" numFmtId="3" applyNumberFormat="1" borderId="2" applyBorder="1" fontId="3" applyFont="1" fillId="0" applyAlignment="1">
      <alignment horizontal="left"/>
    </xf>
    <xf xfId="0" numFmtId="0" borderId="3" applyBorder="1" fontId="4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3" applyBorder="1" fontId="5" applyFont="1" fillId="0" applyAlignment="1">
      <alignment horizontal="left"/>
    </xf>
    <xf xfId="0" numFmtId="3" applyNumberFormat="1" borderId="3" applyBorder="1" fontId="5" applyFont="1" fillId="0" applyAlignment="1">
      <alignment horizontal="left"/>
    </xf>
    <xf xfId="0" numFmtId="0" borderId="3" applyBorder="1" fontId="6" applyFont="1" fillId="0" applyAlignment="1">
      <alignment horizontal="left"/>
    </xf>
    <xf xfId="0" numFmtId="3" applyNumberFormat="1" borderId="0" fontId="0" fillId="0" applyAlignment="1">
      <alignment horizontal="right"/>
    </xf>
    <xf xfId="0" numFmtId="3" applyNumberFormat="1" borderId="3" applyBorder="1" fontId="7" applyFont="1" fillId="0" applyAlignment="1">
      <alignment horizontal="right"/>
    </xf>
    <xf xfId="0" numFmtId="3" applyNumberFormat="1" borderId="0" fontId="0" fillId="0" applyAlignment="1">
      <alignment horizontal="right"/>
    </xf>
    <xf xfId="0" numFmtId="0" borderId="3" applyBorder="1" fontId="7" applyFont="1" fillId="0" applyAlignment="1">
      <alignment horizontal="left"/>
    </xf>
    <xf xfId="0" numFmtId="0" borderId="3" applyBorder="1" fontId="8" applyFont="1" fillId="0" applyAlignment="1">
      <alignment horizontal="left"/>
    </xf>
    <xf xfId="0" numFmtId="0" borderId="3" applyBorder="1" fontId="3" applyFont="1" fillId="0" applyAlignment="1">
      <alignment horizontal="left"/>
    </xf>
    <xf xfId="0" numFmtId="0" borderId="3" applyBorder="1" fontId="9" applyFont="1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sharedStrings.xml" Type="http://schemas.openxmlformats.org/officeDocument/2006/relationships/sharedStrings" Id="rId5"/><Relationship Target="styles.xml" Type="http://schemas.openxmlformats.org/officeDocument/2006/relationships/styles" Id="rId6"/><Relationship Target="theme/theme1.xml" Type="http://schemas.openxmlformats.org/officeDocument/2006/relationships/theme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33"/>
  <sheetViews>
    <sheetView workbookViewId="0"/>
  </sheetViews>
  <sheetFormatPr defaultRowHeight="15" x14ac:dyDescent="0.25"/>
  <cols>
    <col min="1" max="1" style="11" width="110.005" customWidth="1" bestFit="1"/>
  </cols>
  <sheetData>
    <row x14ac:dyDescent="0.25" r="1" customHeight="1" ht="18.75">
      <c r="A1" s="20" t="s">
        <v>110</v>
      </c>
    </row>
    <row x14ac:dyDescent="0.25" r="2" customHeight="1" ht="18.75">
      <c r="A2" s="21"/>
    </row>
    <row x14ac:dyDescent="0.25" r="3" customHeight="1" ht="18.75">
      <c r="A3" s="22" t="s">
        <v>111</v>
      </c>
    </row>
    <row x14ac:dyDescent="0.25" r="4" customHeight="1" ht="18.75">
      <c r="A4" s="21" t="s">
        <v>112</v>
      </c>
    </row>
    <row x14ac:dyDescent="0.25" r="5" customHeight="1" ht="18.75">
      <c r="A5" s="21" t="s">
        <v>113</v>
      </c>
    </row>
    <row x14ac:dyDescent="0.25" r="6" customHeight="1" ht="18.75">
      <c r="A6" s="21"/>
    </row>
    <row x14ac:dyDescent="0.25" r="7" customHeight="1" ht="18.75">
      <c r="A7" s="22" t="s">
        <v>114</v>
      </c>
    </row>
    <row x14ac:dyDescent="0.25" r="8" customHeight="1" ht="18.75">
      <c r="A8" s="21" t="s">
        <v>115</v>
      </c>
    </row>
    <row x14ac:dyDescent="0.25" r="9" customHeight="1" ht="18.75">
      <c r="A9" s="21" t="s">
        <v>116</v>
      </c>
    </row>
    <row x14ac:dyDescent="0.25" r="10" customHeight="1" ht="18.75">
      <c r="A10" s="21" t="s">
        <v>117</v>
      </c>
    </row>
    <row x14ac:dyDescent="0.25" r="11" customHeight="1" ht="18.75">
      <c r="A11" s="21"/>
    </row>
    <row x14ac:dyDescent="0.25" r="12" customHeight="1" ht="18.75">
      <c r="A12" s="22" t="s">
        <v>118</v>
      </c>
    </row>
    <row x14ac:dyDescent="0.25" r="13" customHeight="1" ht="18.75">
      <c r="A13" s="21" t="s">
        <v>119</v>
      </c>
    </row>
    <row x14ac:dyDescent="0.25" r="14" customHeight="1" ht="18.75">
      <c r="A14" s="21" t="s">
        <v>120</v>
      </c>
    </row>
    <row x14ac:dyDescent="0.25" r="15" customHeight="1" ht="18.75">
      <c r="A15" s="21" t="s">
        <v>121</v>
      </c>
    </row>
    <row x14ac:dyDescent="0.25" r="16" customHeight="1" ht="18.75">
      <c r="A16" s="21" t="s">
        <v>122</v>
      </c>
    </row>
    <row x14ac:dyDescent="0.25" r="17" customHeight="1" ht="18.75">
      <c r="A17" s="21"/>
    </row>
    <row x14ac:dyDescent="0.25" r="18" customHeight="1" ht="18.75">
      <c r="A18" s="22" t="s">
        <v>123</v>
      </c>
    </row>
    <row x14ac:dyDescent="0.25" r="19" customHeight="1" ht="18.75">
      <c r="A19" s="21" t="s">
        <v>124</v>
      </c>
    </row>
    <row x14ac:dyDescent="0.25" r="20" customHeight="1" ht="18.75">
      <c r="A20" s="21" t="s">
        <v>125</v>
      </c>
    </row>
    <row x14ac:dyDescent="0.25" r="21" customHeight="1" ht="18.75">
      <c r="A21" s="21" t="s">
        <v>126</v>
      </c>
    </row>
    <row x14ac:dyDescent="0.25" r="22" customHeight="1" ht="18.75">
      <c r="A22" s="21" t="s">
        <v>127</v>
      </c>
    </row>
    <row x14ac:dyDescent="0.25" r="23" customHeight="1" ht="18.75">
      <c r="A23" s="21" t="s">
        <v>128</v>
      </c>
    </row>
    <row x14ac:dyDescent="0.25" r="24" customHeight="1" ht="18.75">
      <c r="A24" s="21" t="s">
        <v>129</v>
      </c>
    </row>
    <row x14ac:dyDescent="0.25" r="25" customHeight="1" ht="18.75">
      <c r="A25" s="21" t="s">
        <v>130</v>
      </c>
    </row>
    <row x14ac:dyDescent="0.25" r="26" customHeight="1" ht="18.75">
      <c r="A26" s="21" t="s">
        <v>131</v>
      </c>
    </row>
    <row x14ac:dyDescent="0.25" r="27" customHeight="1" ht="18.75">
      <c r="A27" s="21" t="s">
        <v>132</v>
      </c>
    </row>
    <row x14ac:dyDescent="0.25" r="28" customHeight="1" ht="18.75">
      <c r="A28" s="21" t="s">
        <v>133</v>
      </c>
    </row>
    <row x14ac:dyDescent="0.25" r="29" customHeight="1" ht="18.75">
      <c r="A29" s="21" t="s">
        <v>134</v>
      </c>
    </row>
    <row x14ac:dyDescent="0.25" r="30" customHeight="1" ht="18.75">
      <c r="A30" s="21"/>
    </row>
    <row x14ac:dyDescent="0.25" r="31" customHeight="1" ht="18.75">
      <c r="A31" s="22" t="s">
        <v>135</v>
      </c>
    </row>
    <row x14ac:dyDescent="0.25" r="32" customHeight="1" ht="18.75">
      <c r="A32" s="21" t="s">
        <v>136</v>
      </c>
    </row>
    <row x14ac:dyDescent="0.25" r="33" customHeight="1" ht="18.75">
      <c r="A33" s="21" t="s">
        <v>137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8"/>
  <sheetViews>
    <sheetView workbookViewId="0"/>
  </sheetViews>
  <sheetFormatPr defaultRowHeight="15" x14ac:dyDescent="0.25"/>
  <cols>
    <col min="1" max="1" style="12" width="6.005" customWidth="1" bestFit="1"/>
    <col min="2" max="2" style="11" width="42.005" customWidth="1" bestFit="1"/>
    <col min="3" max="3" style="18" width="16.005" customWidth="1" bestFit="1"/>
    <col min="4" max="4" style="11" width="20.005" customWidth="1" bestFit="1"/>
    <col min="5" max="5" style="11" width="16.005" customWidth="1" bestFit="1"/>
    <col min="6" max="6" style="12" width="9.005" customWidth="1" bestFit="1"/>
    <col min="7" max="7" style="12" width="7.005" customWidth="1" bestFit="1"/>
    <col min="8" max="8" style="12" width="12.005" customWidth="1" bestFit="1"/>
    <col min="9" max="9" style="11" width="10.005" customWidth="1" bestFit="1"/>
  </cols>
  <sheetData>
    <row x14ac:dyDescent="0.25" r="1" customHeight="1" ht="18.75">
      <c r="A1" s="6" t="s">
        <v>95</v>
      </c>
      <c r="B1" s="5" t="s">
        <v>96</v>
      </c>
      <c r="C1" s="6" t="s">
        <v>97</v>
      </c>
      <c r="D1" s="5" t="s">
        <v>98</v>
      </c>
      <c r="E1" s="5" t="s">
        <v>99</v>
      </c>
      <c r="F1" s="6" t="s">
        <v>100</v>
      </c>
      <c r="G1" s="6" t="s">
        <v>101</v>
      </c>
      <c r="H1" s="6" t="s">
        <v>102</v>
      </c>
      <c r="I1" s="5" t="s">
        <v>103</v>
      </c>
    </row>
    <row x14ac:dyDescent="0.25" r="2" customHeight="1" ht="18.75">
      <c r="A2" s="8">
        <v>1</v>
      </c>
      <c r="B2" s="7" t="s">
        <v>13</v>
      </c>
      <c r="C2" s="8">
        <v>3200000</v>
      </c>
      <c r="D2" s="7" t="s">
        <v>14</v>
      </c>
      <c r="E2" s="7" t="s">
        <v>104</v>
      </c>
      <c r="F2" s="8">
        <v>2004</v>
      </c>
      <c r="G2" s="8">
        <v>1</v>
      </c>
      <c r="H2" s="8">
        <v>45000</v>
      </c>
      <c r="I2" s="7" t="s">
        <v>16</v>
      </c>
    </row>
    <row x14ac:dyDescent="0.25" r="3" customHeight="1" ht="18.75">
      <c r="A3" s="8">
        <v>2</v>
      </c>
      <c r="B3" s="7" t="s">
        <v>17</v>
      </c>
      <c r="C3" s="8">
        <v>1850000</v>
      </c>
      <c r="D3" s="7" t="s">
        <v>105</v>
      </c>
      <c r="E3" s="7" t="s">
        <v>106</v>
      </c>
      <c r="F3" s="8">
        <v>1998</v>
      </c>
      <c r="G3" s="8">
        <v>2</v>
      </c>
      <c r="H3" s="8">
        <v>22500</v>
      </c>
      <c r="I3" s="7" t="s">
        <v>16</v>
      </c>
    </row>
    <row x14ac:dyDescent="0.25" r="4" customHeight="1" ht="18.75">
      <c r="A4" s="8">
        <v>3</v>
      </c>
      <c r="B4" s="7" t="s">
        <v>21</v>
      </c>
      <c r="C4" s="9" t="s">
        <v>107</v>
      </c>
      <c r="D4" s="7" t="s">
        <v>22</v>
      </c>
      <c r="E4" s="7" t="s">
        <v>104</v>
      </c>
      <c r="F4" s="9"/>
      <c r="G4" s="8">
        <v>1</v>
      </c>
      <c r="H4" s="8">
        <v>38000</v>
      </c>
      <c r="I4" s="7" t="s">
        <v>24</v>
      </c>
    </row>
    <row x14ac:dyDescent="0.25" r="5" customHeight="1" ht="18.75">
      <c r="A5" s="8">
        <v>4</v>
      </c>
      <c r="B5" s="7" t="s">
        <v>26</v>
      </c>
      <c r="C5" s="8">
        <v>950000</v>
      </c>
      <c r="D5" s="7" t="s">
        <v>91</v>
      </c>
      <c r="E5" s="7" t="s">
        <v>27</v>
      </c>
      <c r="F5" s="8">
        <v>1975</v>
      </c>
      <c r="G5" s="8">
        <v>4</v>
      </c>
      <c r="H5" s="8">
        <v>12000</v>
      </c>
      <c r="I5" s="7" t="s">
        <v>16</v>
      </c>
    </row>
    <row x14ac:dyDescent="0.25" r="6" customHeight="1" ht="18.75">
      <c r="A6" s="8">
        <v>5</v>
      </c>
      <c r="B6" s="7" t="s">
        <v>29</v>
      </c>
      <c r="C6" s="8">
        <v>1200000</v>
      </c>
      <c r="D6" s="7" t="s">
        <v>14</v>
      </c>
      <c r="E6" s="7" t="s">
        <v>108</v>
      </c>
      <c r="F6" s="8">
        <v>2011</v>
      </c>
      <c r="G6" s="8">
        <v>1</v>
      </c>
      <c r="H6" s="8">
        <v>15500</v>
      </c>
      <c r="I6" s="7" t="s">
        <v>16</v>
      </c>
    </row>
    <row x14ac:dyDescent="0.25" r="7" customHeight="1" ht="18.75">
      <c r="A7" s="8">
        <v>6</v>
      </c>
      <c r="B7" s="7" t="s">
        <v>32</v>
      </c>
      <c r="C7" s="8">
        <v>1600000</v>
      </c>
      <c r="D7" s="7"/>
      <c r="E7" s="7" t="s">
        <v>33</v>
      </c>
      <c r="F7" s="8">
        <v>1930</v>
      </c>
      <c r="G7" s="8">
        <v>3</v>
      </c>
      <c r="H7" s="8">
        <v>9800</v>
      </c>
      <c r="I7" s="7" t="s">
        <v>24</v>
      </c>
    </row>
    <row x14ac:dyDescent="0.25" r="8" customHeight="1" ht="18.75">
      <c r="A8" s="4"/>
      <c r="B8" s="19" t="s">
        <v>109</v>
      </c>
      <c r="C8" s="17">
        <f>SUM(C2:C7)</f>
      </c>
      <c r="D8" s="3"/>
      <c r="E8" s="3"/>
      <c r="F8" s="4"/>
      <c r="G8" s="4"/>
      <c r="H8" s="4"/>
      <c r="I8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12"/>
  <sheetViews>
    <sheetView workbookViewId="0"/>
  </sheetViews>
  <sheetFormatPr defaultRowHeight="15" x14ac:dyDescent="0.25"/>
  <cols>
    <col min="1" max="1" style="11" width="7.005" customWidth="1" bestFit="1"/>
    <col min="2" max="2" style="11" width="40.005" customWidth="1" bestFit="1"/>
    <col min="3" max="3" style="18" width="15.005" customWidth="1" bestFit="1"/>
    <col min="4" max="4" style="11" width="26.005" customWidth="1" bestFit="1"/>
    <col min="5" max="5" style="11" width="18.005" customWidth="1" bestFit="1"/>
    <col min="6" max="6" style="12" width="11.005" customWidth="1" bestFit="1"/>
    <col min="7" max="7" style="12" width="8.005" customWidth="1" bestFit="1"/>
    <col min="8" max="8" style="12" width="10.005" customWidth="1" bestFit="1"/>
    <col min="9" max="9" style="11" width="20.005" customWidth="1" bestFit="1"/>
  </cols>
  <sheetData>
    <row x14ac:dyDescent="0.25" r="1" customHeight="1" ht="18.75">
      <c r="A1" s="13" t="s">
        <v>60</v>
      </c>
      <c r="B1" s="13"/>
      <c r="C1" s="14"/>
      <c r="D1" s="13"/>
      <c r="E1" s="13"/>
      <c r="F1" s="14"/>
      <c r="G1" s="14"/>
      <c r="H1" s="14"/>
      <c r="I1" s="13"/>
    </row>
    <row x14ac:dyDescent="0.25" r="2" customHeight="1" ht="18.75">
      <c r="A2" s="15" t="s">
        <v>61</v>
      </c>
      <c r="B2" s="3"/>
      <c r="C2" s="16"/>
      <c r="D2" s="3"/>
      <c r="E2" s="3"/>
      <c r="F2" s="4"/>
      <c r="G2" s="4"/>
      <c r="H2" s="4"/>
      <c r="I2" s="3"/>
    </row>
    <row x14ac:dyDescent="0.25" r="3" customHeight="1" ht="18.75">
      <c r="A3" s="3"/>
      <c r="B3" s="3"/>
      <c r="C3" s="16"/>
      <c r="D3" s="3"/>
      <c r="E3" s="3"/>
      <c r="F3" s="4"/>
      <c r="G3" s="4"/>
      <c r="H3" s="4"/>
      <c r="I3" s="3"/>
    </row>
    <row x14ac:dyDescent="0.25" r="4" customHeight="1" ht="18.75">
      <c r="A4" s="5" t="s">
        <v>2</v>
      </c>
      <c r="B4" s="5" t="s">
        <v>62</v>
      </c>
      <c r="C4" s="6" t="s">
        <v>63</v>
      </c>
      <c r="D4" s="5" t="s">
        <v>64</v>
      </c>
      <c r="E4" s="5" t="s">
        <v>65</v>
      </c>
      <c r="F4" s="6" t="s">
        <v>66</v>
      </c>
      <c r="G4" s="6" t="s">
        <v>8</v>
      </c>
      <c r="H4" s="6" t="s">
        <v>67</v>
      </c>
      <c r="I4" s="5" t="s">
        <v>68</v>
      </c>
    </row>
    <row x14ac:dyDescent="0.25" r="5" customHeight="1" ht="18.75">
      <c r="A5" s="7" t="s">
        <v>36</v>
      </c>
      <c r="B5" s="7" t="s">
        <v>69</v>
      </c>
      <c r="C5" s="8">
        <v>780000</v>
      </c>
      <c r="D5" s="7" t="s">
        <v>70</v>
      </c>
      <c r="E5" s="7" t="s">
        <v>71</v>
      </c>
      <c r="F5" s="8">
        <v>1962</v>
      </c>
      <c r="G5" s="8">
        <v>1</v>
      </c>
      <c r="H5" s="8">
        <v>320</v>
      </c>
      <c r="I5" s="7" t="s">
        <v>72</v>
      </c>
    </row>
    <row x14ac:dyDescent="0.25" r="6" customHeight="1" ht="18.75">
      <c r="A6" s="7" t="s">
        <v>39</v>
      </c>
      <c r="B6" s="7" t="s">
        <v>73</v>
      </c>
      <c r="C6" s="8">
        <v>4500000</v>
      </c>
      <c r="D6" s="7" t="s">
        <v>74</v>
      </c>
      <c r="E6" s="7" t="s">
        <v>75</v>
      </c>
      <c r="F6" s="9" t="s">
        <v>76</v>
      </c>
      <c r="G6" s="8">
        <v>1</v>
      </c>
      <c r="H6" s="8">
        <v>6200</v>
      </c>
      <c r="I6" s="7" t="s">
        <v>77</v>
      </c>
    </row>
    <row x14ac:dyDescent="0.25" r="7" customHeight="1" ht="18.75">
      <c r="A7" s="7" t="s">
        <v>42</v>
      </c>
      <c r="B7" s="7" t="s">
        <v>78</v>
      </c>
      <c r="C7" s="9" t="s">
        <v>79</v>
      </c>
      <c r="D7" s="7" t="s">
        <v>80</v>
      </c>
      <c r="E7" s="7" t="s">
        <v>45</v>
      </c>
      <c r="F7" s="9" t="s">
        <v>81</v>
      </c>
      <c r="G7" s="8">
        <v>2</v>
      </c>
      <c r="H7" s="8">
        <v>210</v>
      </c>
      <c r="I7" s="7" t="s">
        <v>82</v>
      </c>
    </row>
    <row x14ac:dyDescent="0.25" r="8" customHeight="1" ht="18.75">
      <c r="A8" s="7" t="s">
        <v>47</v>
      </c>
      <c r="B8" s="7" t="s">
        <v>83</v>
      </c>
      <c r="C8" s="8">
        <v>9200000</v>
      </c>
      <c r="D8" s="7" t="s">
        <v>84</v>
      </c>
      <c r="E8" s="7" t="s">
        <v>85</v>
      </c>
      <c r="F8" s="8">
        <v>1993</v>
      </c>
      <c r="G8" s="8">
        <v>1</v>
      </c>
      <c r="H8" s="8">
        <v>14800</v>
      </c>
      <c r="I8" s="7" t="s">
        <v>86</v>
      </c>
    </row>
    <row x14ac:dyDescent="0.25" r="9" customHeight="1" ht="18.75">
      <c r="A9" s="7" t="s">
        <v>50</v>
      </c>
      <c r="B9" s="7" t="s">
        <v>87</v>
      </c>
      <c r="C9" s="8">
        <v>1350000</v>
      </c>
      <c r="D9" s="7" t="s">
        <v>88</v>
      </c>
      <c r="E9" s="7" t="s">
        <v>89</v>
      </c>
      <c r="F9" s="8">
        <v>2007</v>
      </c>
      <c r="G9" s="8">
        <v>3</v>
      </c>
      <c r="H9" s="8">
        <v>1100</v>
      </c>
      <c r="I9" s="7" t="s">
        <v>90</v>
      </c>
    </row>
    <row x14ac:dyDescent="0.25" r="10" customHeight="1" ht="18.75">
      <c r="A10" s="7" t="s">
        <v>53</v>
      </c>
      <c r="B10" s="7" t="s">
        <v>54</v>
      </c>
      <c r="C10" s="9"/>
      <c r="D10" s="7" t="s">
        <v>91</v>
      </c>
      <c r="E10" s="7" t="s">
        <v>92</v>
      </c>
      <c r="F10" s="9"/>
      <c r="G10" s="8">
        <v>2</v>
      </c>
      <c r="H10" s="8">
        <v>890</v>
      </c>
      <c r="I10" s="7" t="s">
        <v>93</v>
      </c>
    </row>
    <row x14ac:dyDescent="0.25" r="11" customHeight="1" ht="18.75">
      <c r="A11" s="3"/>
      <c r="B11" s="3"/>
      <c r="C11" s="16"/>
      <c r="D11" s="3"/>
      <c r="E11" s="3"/>
      <c r="F11" s="4"/>
      <c r="G11" s="4"/>
      <c r="H11" s="4"/>
      <c r="I11" s="3"/>
    </row>
    <row x14ac:dyDescent="0.25" r="12" customHeight="1" ht="18.75">
      <c r="A12" s="3"/>
      <c r="B12" s="10" t="s">
        <v>94</v>
      </c>
      <c r="C12" s="17">
        <v>16200000</v>
      </c>
      <c r="D12" s="3"/>
      <c r="E12" s="3"/>
      <c r="F12" s="4"/>
      <c r="G12" s="4"/>
      <c r="H12" s="4"/>
      <c r="I12" s="3"/>
    </row>
  </sheetData>
  <mergeCells count="1">
    <mergeCell ref="A1:I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8"/>
  <sheetViews>
    <sheetView workbookViewId="0" tabSelected="1"/>
  </sheetViews>
  <sheetFormatPr defaultRowHeight="15" x14ac:dyDescent="0.25"/>
  <cols>
    <col min="1" max="1" style="11" width="8.005" customWidth="1" bestFit="1"/>
    <col min="2" max="2" style="12" width="7.005" customWidth="1" bestFit="1"/>
    <col min="3" max="3" style="11" width="40.005" customWidth="1" bestFit="1"/>
    <col min="4" max="4" style="12" width="14.005" customWidth="1" bestFit="1"/>
    <col min="5" max="5" style="11" width="24.005" customWidth="1" bestFit="1"/>
    <col min="6" max="6" style="11" width="20.005" customWidth="1" bestFit="1"/>
    <col min="7" max="7" style="12" width="11.005" customWidth="1" bestFit="1"/>
    <col min="8" max="8" style="12" width="8.005" customWidth="1" bestFit="1"/>
    <col min="9" max="9" style="12" width="15.005" customWidth="1" bestFit="1"/>
    <col min="10" max="10" style="11" width="11.005" customWidth="1" bestFit="1"/>
    <col min="11" max="11" style="11" width="46.005" customWidth="1" bestFit="1"/>
  </cols>
  <sheetData>
    <row x14ac:dyDescent="0.25" r="1" customHeight="1" ht="21">
      <c r="A1" s="1" t="s">
        <v>0</v>
      </c>
      <c r="B1" s="2"/>
      <c r="C1" s="1"/>
      <c r="D1" s="2"/>
      <c r="E1" s="1"/>
      <c r="F1" s="1"/>
      <c r="G1" s="2"/>
      <c r="H1" s="2"/>
      <c r="I1" s="2"/>
      <c r="J1" s="1"/>
      <c r="K1" s="1"/>
    </row>
    <row x14ac:dyDescent="0.25" r="2" customHeight="1" ht="18.75">
      <c r="A2" s="3"/>
      <c r="B2" s="4"/>
      <c r="C2" s="3"/>
      <c r="D2" s="4"/>
      <c r="E2" s="3"/>
      <c r="F2" s="3"/>
      <c r="G2" s="4"/>
      <c r="H2" s="4"/>
      <c r="I2" s="4"/>
      <c r="J2" s="3"/>
      <c r="K2" s="3"/>
    </row>
    <row x14ac:dyDescent="0.25" r="3" customHeight="1" ht="18.75">
      <c r="A3" s="5" t="s">
        <v>1</v>
      </c>
      <c r="B3" s="6" t="s">
        <v>2</v>
      </c>
      <c r="C3" s="5" t="s">
        <v>3</v>
      </c>
      <c r="D3" s="6" t="s">
        <v>4</v>
      </c>
      <c r="E3" s="5" t="s">
        <v>5</v>
      </c>
      <c r="F3" s="5" t="s">
        <v>6</v>
      </c>
      <c r="G3" s="6" t="s">
        <v>7</v>
      </c>
      <c r="H3" s="6" t="s">
        <v>8</v>
      </c>
      <c r="I3" s="6" t="s">
        <v>9</v>
      </c>
      <c r="J3" s="5" t="s">
        <v>10</v>
      </c>
      <c r="K3" s="5" t="s">
        <v>11</v>
      </c>
    </row>
    <row x14ac:dyDescent="0.25" r="4" customHeight="1" ht="18.75">
      <c r="A4" s="7" t="s">
        <v>12</v>
      </c>
      <c r="B4" s="8">
        <v>1</v>
      </c>
      <c r="C4" s="7" t="s">
        <v>13</v>
      </c>
      <c r="D4" s="8">
        <v>3200000</v>
      </c>
      <c r="E4" s="7" t="s">
        <v>14</v>
      </c>
      <c r="F4" s="7" t="s">
        <v>15</v>
      </c>
      <c r="G4" s="8">
        <v>2004</v>
      </c>
      <c r="H4" s="8">
        <v>1</v>
      </c>
      <c r="I4" s="8">
        <v>45000</v>
      </c>
      <c r="J4" s="7" t="s">
        <v>16</v>
      </c>
      <c r="K4" s="7"/>
    </row>
    <row x14ac:dyDescent="0.25" r="5" customHeight="1" ht="18.75">
      <c r="A5" s="7" t="s">
        <v>12</v>
      </c>
      <c r="B5" s="8">
        <v>2</v>
      </c>
      <c r="C5" s="7" t="s">
        <v>17</v>
      </c>
      <c r="D5" s="8">
        <v>1850000</v>
      </c>
      <c r="E5" s="7" t="s">
        <v>18</v>
      </c>
      <c r="F5" s="7" t="s">
        <v>19</v>
      </c>
      <c r="G5" s="8">
        <v>1998</v>
      </c>
      <c r="H5" s="8">
        <v>2</v>
      </c>
      <c r="I5" s="8">
        <v>22500</v>
      </c>
      <c r="J5" s="7" t="s">
        <v>16</v>
      </c>
      <c r="K5" s="7" t="s">
        <v>20</v>
      </c>
    </row>
    <row x14ac:dyDescent="0.25" r="6" customHeight="1" ht="18.75">
      <c r="A6" s="7" t="s">
        <v>12</v>
      </c>
      <c r="B6" s="8">
        <v>3</v>
      </c>
      <c r="C6" s="7" t="s">
        <v>21</v>
      </c>
      <c r="D6" s="8">
        <v>2400000</v>
      </c>
      <c r="E6" s="7" t="s">
        <v>22</v>
      </c>
      <c r="F6" s="7" t="s">
        <v>15</v>
      </c>
      <c r="G6" s="9" t="s">
        <v>23</v>
      </c>
      <c r="H6" s="8">
        <v>1</v>
      </c>
      <c r="I6" s="8">
        <v>38000</v>
      </c>
      <c r="J6" s="7" t="s">
        <v>24</v>
      </c>
      <c r="K6" s="7" t="s">
        <v>25</v>
      </c>
    </row>
    <row x14ac:dyDescent="0.25" r="7" customHeight="1" ht="18.75">
      <c r="A7" s="7" t="s">
        <v>12</v>
      </c>
      <c r="B7" s="8">
        <v>4</v>
      </c>
      <c r="C7" s="7" t="s">
        <v>26</v>
      </c>
      <c r="D7" s="8">
        <v>950000</v>
      </c>
      <c r="E7" s="7" t="s">
        <v>22</v>
      </c>
      <c r="F7" s="7" t="s">
        <v>27</v>
      </c>
      <c r="G7" s="8">
        <v>1975</v>
      </c>
      <c r="H7" s="8">
        <v>4</v>
      </c>
      <c r="I7" s="8">
        <v>12000</v>
      </c>
      <c r="J7" s="7" t="s">
        <v>16</v>
      </c>
      <c r="K7" s="7" t="s">
        <v>28</v>
      </c>
    </row>
    <row x14ac:dyDescent="0.25" r="8" customHeight="1" ht="18.75">
      <c r="A8" s="7" t="s">
        <v>12</v>
      </c>
      <c r="B8" s="8">
        <v>5</v>
      </c>
      <c r="C8" s="7" t="s">
        <v>29</v>
      </c>
      <c r="D8" s="8">
        <v>1200000</v>
      </c>
      <c r="E8" s="7" t="s">
        <v>14</v>
      </c>
      <c r="F8" s="7" t="s">
        <v>30</v>
      </c>
      <c r="G8" s="8">
        <v>2011</v>
      </c>
      <c r="H8" s="8">
        <v>1</v>
      </c>
      <c r="I8" s="8">
        <v>15500</v>
      </c>
      <c r="J8" s="7" t="s">
        <v>16</v>
      </c>
      <c r="K8" s="7" t="s">
        <v>31</v>
      </c>
    </row>
    <row x14ac:dyDescent="0.25" r="9" customHeight="1" ht="18.75">
      <c r="A9" s="7" t="s">
        <v>12</v>
      </c>
      <c r="B9" s="8">
        <v>6</v>
      </c>
      <c r="C9" s="7" t="s">
        <v>32</v>
      </c>
      <c r="D9" s="8">
        <v>1600000</v>
      </c>
      <c r="E9" s="7" t="s">
        <v>23</v>
      </c>
      <c r="F9" s="7" t="s">
        <v>33</v>
      </c>
      <c r="G9" s="8">
        <v>1930</v>
      </c>
      <c r="H9" s="8">
        <v>3</v>
      </c>
      <c r="I9" s="8">
        <v>9800</v>
      </c>
      <c r="J9" s="7" t="s">
        <v>24</v>
      </c>
      <c r="K9" s="7" t="s">
        <v>34</v>
      </c>
    </row>
    <row x14ac:dyDescent="0.25" r="10" customHeight="1" ht="18.75">
      <c r="A10" s="7" t="s">
        <v>35</v>
      </c>
      <c r="B10" s="9" t="s">
        <v>36</v>
      </c>
      <c r="C10" s="7" t="s">
        <v>37</v>
      </c>
      <c r="D10" s="8">
        <v>780000</v>
      </c>
      <c r="E10" s="7" t="s">
        <v>18</v>
      </c>
      <c r="F10" s="7" t="s">
        <v>33</v>
      </c>
      <c r="G10" s="8">
        <v>1962</v>
      </c>
      <c r="H10" s="8">
        <v>1</v>
      </c>
      <c r="I10" s="8">
        <v>3444</v>
      </c>
      <c r="J10" s="7" t="s">
        <v>16</v>
      </c>
      <c r="K10" s="7" t="s">
        <v>38</v>
      </c>
    </row>
    <row x14ac:dyDescent="0.25" r="11" customHeight="1" ht="18.75">
      <c r="A11" s="7" t="s">
        <v>35</v>
      </c>
      <c r="B11" s="9" t="s">
        <v>39</v>
      </c>
      <c r="C11" s="7" t="s">
        <v>40</v>
      </c>
      <c r="D11" s="8">
        <v>4500000</v>
      </c>
      <c r="E11" s="7" t="s">
        <v>14</v>
      </c>
      <c r="F11" s="7" t="s">
        <v>33</v>
      </c>
      <c r="G11" s="8">
        <v>1988</v>
      </c>
      <c r="H11" s="8">
        <v>1</v>
      </c>
      <c r="I11" s="8">
        <v>66736</v>
      </c>
      <c r="J11" s="7" t="s">
        <v>24</v>
      </c>
      <c r="K11" s="7" t="s">
        <v>41</v>
      </c>
    </row>
    <row x14ac:dyDescent="0.25" r="12" customHeight="1" ht="18.75">
      <c r="A12" s="7" t="s">
        <v>35</v>
      </c>
      <c r="B12" s="9" t="s">
        <v>42</v>
      </c>
      <c r="C12" s="7" t="s">
        <v>43</v>
      </c>
      <c r="D12" s="9" t="s">
        <v>23</v>
      </c>
      <c r="E12" s="7" t="s">
        <v>44</v>
      </c>
      <c r="F12" s="7" t="s">
        <v>45</v>
      </c>
      <c r="G12" s="9" t="s">
        <v>23</v>
      </c>
      <c r="H12" s="8">
        <v>2</v>
      </c>
      <c r="I12" s="8">
        <v>2260</v>
      </c>
      <c r="J12" s="7" t="s">
        <v>23</v>
      </c>
      <c r="K12" s="7" t="s">
        <v>46</v>
      </c>
    </row>
    <row x14ac:dyDescent="0.25" r="13" customHeight="1" ht="18.75">
      <c r="A13" s="7" t="s">
        <v>35</v>
      </c>
      <c r="B13" s="9" t="s">
        <v>47</v>
      </c>
      <c r="C13" s="7" t="s">
        <v>48</v>
      </c>
      <c r="D13" s="8">
        <v>9200000</v>
      </c>
      <c r="E13" s="7" t="s">
        <v>14</v>
      </c>
      <c r="F13" s="7" t="s">
        <v>15</v>
      </c>
      <c r="G13" s="8">
        <v>1993</v>
      </c>
      <c r="H13" s="8">
        <v>1</v>
      </c>
      <c r="I13" s="8">
        <v>159306</v>
      </c>
      <c r="J13" s="7" t="s">
        <v>16</v>
      </c>
      <c r="K13" s="7" t="s">
        <v>49</v>
      </c>
    </row>
    <row x14ac:dyDescent="0.25" r="14" customHeight="1" ht="18.75">
      <c r="A14" s="7" t="s">
        <v>35</v>
      </c>
      <c r="B14" s="9" t="s">
        <v>50</v>
      </c>
      <c r="C14" s="7" t="s">
        <v>51</v>
      </c>
      <c r="D14" s="8">
        <v>1350000</v>
      </c>
      <c r="E14" s="7" t="s">
        <v>22</v>
      </c>
      <c r="F14" s="7" t="s">
        <v>30</v>
      </c>
      <c r="G14" s="8">
        <v>2007</v>
      </c>
      <c r="H14" s="8">
        <v>3</v>
      </c>
      <c r="I14" s="8">
        <v>11840</v>
      </c>
      <c r="J14" s="7" t="s">
        <v>16</v>
      </c>
      <c r="K14" s="7" t="s">
        <v>52</v>
      </c>
    </row>
    <row x14ac:dyDescent="0.25" r="15" customHeight="1" ht="18.75">
      <c r="A15" s="7" t="s">
        <v>35</v>
      </c>
      <c r="B15" s="9" t="s">
        <v>53</v>
      </c>
      <c r="C15" s="7" t="s">
        <v>54</v>
      </c>
      <c r="D15" s="9" t="s">
        <v>23</v>
      </c>
      <c r="E15" s="7" t="s">
        <v>22</v>
      </c>
      <c r="F15" s="7" t="s">
        <v>19</v>
      </c>
      <c r="G15" s="9" t="s">
        <v>23</v>
      </c>
      <c r="H15" s="8">
        <v>2</v>
      </c>
      <c r="I15" s="8">
        <v>9580</v>
      </c>
      <c r="J15" s="7" t="s">
        <v>23</v>
      </c>
      <c r="K15" s="7" t="s">
        <v>55</v>
      </c>
    </row>
    <row x14ac:dyDescent="0.25" r="16" customHeight="1" ht="18.75">
      <c r="A16" s="3"/>
      <c r="B16" s="4"/>
      <c r="C16" s="3"/>
      <c r="D16" s="4"/>
      <c r="E16" s="3"/>
      <c r="F16" s="3"/>
      <c r="G16" s="4"/>
      <c r="H16" s="4"/>
      <c r="I16" s="4"/>
      <c r="J16" s="3"/>
      <c r="K16" s="3"/>
    </row>
    <row x14ac:dyDescent="0.25" r="17" customHeight="1" ht="18.75">
      <c r="A17" s="3"/>
      <c r="B17" s="4"/>
      <c r="C17" s="10" t="s">
        <v>56</v>
      </c>
      <c r="D17" s="4"/>
      <c r="E17" s="10" t="s">
        <v>57</v>
      </c>
      <c r="F17" s="3"/>
      <c r="G17" s="4"/>
      <c r="H17" s="4"/>
      <c r="I17" s="4"/>
      <c r="J17" s="3"/>
      <c r="K17" s="3"/>
    </row>
    <row x14ac:dyDescent="0.25" r="18" customHeight="1" ht="18.75">
      <c r="A18" s="3"/>
      <c r="B18" s="4"/>
      <c r="C18" s="10" t="s">
        <v>58</v>
      </c>
      <c r="D18" s="4"/>
      <c r="E18" s="10" t="s">
        <v>59</v>
      </c>
      <c r="F18" s="3"/>
      <c r="G18" s="4"/>
      <c r="H18" s="4"/>
      <c r="I18" s="4"/>
      <c r="J18" s="3"/>
      <c r="K18" s="3"/>
    </row>
  </sheetData>
  <mergeCells count="1">
    <mergeCell ref="A1:K1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4</vt:i4>
      </vt:variant>
    </vt:vector>
  </HeadingPairs>
  <TitlesOfParts>
    <vt:vector baseType="lpstr" size="4">
      <vt:lpstr>READ ME FIRST</vt:lpstr>
      <vt:lpstr>Broker A - Meridian</vt:lpstr>
      <vt:lpstr>Broker B - Castlegate</vt:lpstr>
      <vt:lpstr>GROUND TRUTH (do not peek)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2026-08-07T17:05:39.041Z</dcterms:created>
  <dcterms:modified xsi:type="dcterms:W3CDTF">2026-08-07T17:05:39.049Z</dcterms:modified>
</cp:coreProperties>
</file>