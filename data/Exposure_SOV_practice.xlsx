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Broker A - Meridian" sheetId="2" state="visible" r:id="rId4"/>
    <sheet name="Broker B - Castlegate" sheetId="3" state="visible" r:id="rId5"/>
    <sheet name="GROUND TRUTH (do not peek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<sst xmlns="http://schemas.openxmlformats.org/spreadsheetml/2006/main" count="205" uniqueCount="138">
  <si>
    <t xml:space="preserve">Exposure Intelligence – Practice Dataset (Statements of Values)</t>
  </si>
  <si>
    <t xml:space="preserve">WHAT THIS IS</t>
  </si>
  <si>
    <t xml:space="preserve">Two synthetic Statements of Values (SOVs) from two different brokers, plus a hidden ground-truth sheet.</t>
  </si>
  <si>
    <t xml:space="preserve">Everything here is fabricated for practice – no real client data. This is your Task 1 study material.</t>
  </si>
  <si>
    <t xml:space="preserve">HOW TO USE IT</t>
  </si>
  <si>
    <t xml:space="preserve">1. Study 'Broker A' and 'Broker B'. Notice they describe similar portfolios but in totally different layouts.</t>
  </si>
  <si>
    <t xml:space="preserve">2. Do NOT open GROUND TRUTH until you want to score an extractor – it holds the correct normalized answers.</t>
  </si>
  <si>
    <t xml:space="preserve">3. Later, feed Broker A/B to your pipeline and compare its output against GROUND TRUTH to measure accuracy.</t>
  </si>
  <si>
    <t xml:space="preserve">YOUR TARGET SCHEMA (the 8–10 fields to extract &amp; normalize)</t>
  </si>
  <si>
    <t xml:space="preserve">Address  |  TIV (£)  |  Construction  |  Occupancy  |  Year Built  |  Storeys  |  Floor Area (sq ft)  |  Sprinklered</t>
  </si>
  <si>
    <t xml:space="preserve">Construction vocab: Steel Frame | Reinforced Concrete | Masonry | Timber Frame | UNKNOWN</t>
  </si>
  <si>
    <t xml:space="preserve">Occupancy vocab:    Warehouse/Storage | Office | Retail | Restaurant | Manufacturing | Mixed/Other | UNKNOWN</t>
  </si>
  <si>
    <t xml:space="preserve">Always allow UNKNOWN – never force a guess (this is the Paper 1 lesson).</t>
  </si>
  <si>
    <t xml:space="preserve">THE DELIBERATE MESS – why a plain Excel/rule cannot do this (find each of these yourself as you study):</t>
  </si>
  <si>
    <t xml:space="preserve">• Different column names per broker: 'Construction' vs 'Wall/Frame'; 'Occupancy' vs 'Trade/Use'; 'Sum Insured' vs 'Declared Value'.</t>
  </si>
  <si>
    <t xml:space="preserve">• Different layout: Broker B has a merged title, a sub-line, a blank row, and headers only on row 4 (not row 1).</t>
  </si>
  <si>
    <t xml:space="preserve">• Free text instead of clean codes: 'Steel portal frame, brick infill'; 'Steel-frame, insulated cladding, built early 90s'.</t>
  </si>
  <si>
    <t xml:space="preserve">• Inconsistent units: Broker A area in sq ft; Broker B in sqm (GIA). Must be converted to one unit.</t>
  </si>
  <si>
    <t xml:space="preserve">• Values as text/shorthand: '£2.4m' instead of 2400000; 'TBC' and blanks for value.</t>
  </si>
  <si>
    <t xml:space="preserve">• Fuzzy years: 'circa 1988', 'pre-1900', 'built early 90s' vs a real year in another column.</t>
  </si>
  <si>
    <t xml:space="preserve">• Typos: 'Masonary' (Masonry). Ambiguous terms: 'Concrete' (RC? block?), 'Mixed use', 'Cash &amp; carry'.</t>
  </si>
  <si>
    <t xml:space="preserve">• Missing / incomplete: blank construction; blank value; address = 'see broker note'.</t>
  </si>
  <si>
    <t xml:space="preserve">• Sprinkler stated many ways: 'Y' / 'Sprinklers throughout' / 'Sprinklered + hydrants' / 'None' / 'N/A' / 'Unknown' / 'Yes'.</t>
  </si>
  <si>
    <t xml:space="preserve">• A SUM trap: Broker A's total formula silently under-counts because '£2.4m' is text, not a number.</t>
  </si>
  <si>
    <t xml:space="preserve">• Broker B's stated total does not reconcile because two values are missing (TBC / blank).</t>
  </si>
  <si>
    <t xml:space="preserve">WHAT TO PRODUCE FROM TASK 1 (no code yet)</t>
  </si>
  <si>
    <t xml:space="preserve">A short notes file with: (a) a glossary of what each column means, (b) your chosen 8–10 target fields,</t>
  </si>
  <si>
    <t xml:space="preserve">(c) your own list of every messy/ambiguous cell you spotted above. That list = your future validation checklist.</t>
  </si>
  <si>
    <t xml:space="preserve">Loc #</t>
  </si>
  <si>
    <t xml:space="preserve">Property Address</t>
  </si>
  <si>
    <t xml:space="preserve">Sum Insured (£)</t>
  </si>
  <si>
    <t xml:space="preserve">Construction</t>
  </si>
  <si>
    <t xml:space="preserve">Occupancy</t>
  </si>
  <si>
    <t xml:space="preserve">Yr Built</t>
  </si>
  <si>
    <t xml:space="preserve">Floors</t>
  </si>
  <si>
    <t xml:space="preserve">Area (sq ft)</t>
  </si>
  <si>
    <t xml:space="preserve">Sprinklers</t>
  </si>
  <si>
    <t xml:space="preserve">Unit 4, Avonmouth Distribution Park, Bristol BS11 8DL</t>
  </si>
  <si>
    <t xml:space="preserve">Steel Frame</t>
  </si>
  <si>
    <t xml:space="preserve">Warehouse</t>
  </si>
  <si>
    <t xml:space="preserve">Y</t>
  </si>
  <si>
    <t xml:space="preserve">12 Kingsway Trading Estate, Birmingham B18 6NF</t>
  </si>
  <si>
    <t xml:space="preserve">Masonary</t>
  </si>
  <si>
    <t xml:space="preserve">Light industrial</t>
  </si>
  <si>
    <t xml:space="preserve">7 Dockside Road, Liverpool L20 1BX</t>
  </si>
  <si>
    <t xml:space="preserve">£2.4m</t>
  </si>
  <si>
    <t xml:space="preserve">Reinforced Concrete</t>
  </si>
  <si>
    <t xml:space="preserve">N</t>
  </si>
  <si>
    <t xml:space="preserve">Suite 3, Meridian House, 40 High St, Leeds LS1 4DT</t>
  </si>
  <si>
    <t xml:space="preserve">Concrete</t>
  </si>
  <si>
    <t xml:space="preserve">Office</t>
  </si>
  <si>
    <t xml:space="preserve">Retail Unit 2, Gallows Corner Retail Park, Romford RM3 0BB</t>
  </si>
  <si>
    <t xml:space="preserve">Mixed use</t>
  </si>
  <si>
    <t xml:space="preserve">88 Canal Street, Manchester M1 3WD</t>
  </si>
  <si>
    <t xml:space="preserve">Retail</t>
  </si>
  <si>
    <t xml:space="preserve">PORTFOLIO TOTAL</t>
  </si>
  <si>
    <t xml:space="preserve">STATEMENT OF VALUES  —  Pinnacle Retail Group  (2025 Renewal)</t>
  </si>
  <si>
    <t xml:space="preserve">Prepared by Castlegate Underwriting Solutions   |   Broker ref: CG-2025-0417   |   Currency: GBP</t>
  </si>
  <si>
    <t xml:space="preserve">Ref</t>
  </si>
  <si>
    <t xml:space="preserve">Location</t>
  </si>
  <si>
    <t xml:space="preserve">Declared Value</t>
  </si>
  <si>
    <t xml:space="preserve">Wall/Frame</t>
  </si>
  <si>
    <t xml:space="preserve">Trade/Use</t>
  </si>
  <si>
    <t xml:space="preserve">Age</t>
  </si>
  <si>
    <t xml:space="preserve">Storeys</t>
  </si>
  <si>
    <t xml:space="preserve">GIA (sqm)</t>
  </si>
  <si>
    <t xml:space="preserve">Fire Protection</t>
  </si>
  <si>
    <t xml:space="preserve">P-01</t>
  </si>
  <si>
    <t xml:space="preserve">Ground floor retail, 145 Briggate,
Leeds, LS1 6HW</t>
  </si>
  <si>
    <t xml:space="preserve">Brick / masonry</t>
  </si>
  <si>
    <t xml:space="preserve">Retail (fashion)</t>
  </si>
  <si>
    <t xml:space="preserve">Sprinklers throughout</t>
  </si>
  <si>
    <t xml:space="preserve">P-02</t>
  </si>
  <si>
    <t xml:space="preserve">Cash &amp; carry warehouse, Trafford Park, Manchester M17 1WA</t>
  </si>
  <si>
    <t xml:space="preserve">Steel portal frame, brick infill</t>
  </si>
  <si>
    <t xml:space="preserve">Cash &amp; carry</t>
  </si>
  <si>
    <t xml:space="preserve">circa 1988</t>
  </si>
  <si>
    <t xml:space="preserve">None</t>
  </si>
  <si>
    <t xml:space="preserve">P-03</t>
  </si>
  <si>
    <t xml:space="preserve">Restaurant premises, 22 St Marys St, Cardiff CF10 1AT</t>
  </si>
  <si>
    <t xml:space="preserve">TBC</t>
  </si>
  <si>
    <t xml:space="preserve">Timber frame (listed bldg)</t>
  </si>
  <si>
    <t xml:space="preserve">Restaurant</t>
  </si>
  <si>
    <t xml:space="preserve">pre-1900</t>
  </si>
  <si>
    <t xml:space="preserve">N/A</t>
  </si>
  <si>
    <t xml:space="preserve">P-04</t>
  </si>
  <si>
    <t xml:space="preserve">Distribution hub, Junction 28 Logistics Pk, Derby DE55 4QT</t>
  </si>
  <si>
    <t xml:space="preserve">Steel-frame, insulated cladding, built early 90s</t>
  </si>
  <si>
    <t xml:space="preserve">Storage &amp; distribution</t>
  </si>
  <si>
    <t xml:space="preserve">Sprinklered + hydrants</t>
  </si>
  <si>
    <t xml:space="preserve">P-05</t>
  </si>
  <si>
    <t xml:space="preserve">Office &amp; showroom, see broker note</t>
  </si>
  <si>
    <t xml:space="preserve">RC frame</t>
  </si>
  <si>
    <t xml:space="preserve">Office / showroom</t>
  </si>
  <si>
    <t xml:space="preserve">Yes</t>
  </si>
  <si>
    <t xml:space="preserve">P-06</t>
  </si>
  <si>
    <t xml:space="preserve">Unit 9, Eastgate Ind. Est., Glasgow G32 8RG</t>
  </si>
  <si>
    <t xml:space="preserve">Light manufacturing</t>
  </si>
  <si>
    <t xml:space="preserve">Unknown</t>
  </si>
  <si>
    <t xml:space="preserve">broker's stated portfolio total (does not reconcile – 2 values missing):</t>
  </si>
  <si>
    <t xml:space="preserve">⚠  REFERENCE ANSWERS – for scoring your extractor ONLY. Do NOT feed this sheet to the model.</t>
  </si>
  <si>
    <t xml:space="preserve">Source</t>
  </si>
  <si>
    <t xml:space="preserve">Normalized Address</t>
  </si>
  <si>
    <t xml:space="preserve">TIV (£)</t>
  </si>
  <si>
    <t xml:space="preserve">Construction (normalized)</t>
  </si>
  <si>
    <t xml:space="preserve">Occupancy (normalized)</t>
  </si>
  <si>
    <t xml:space="preserve">Year Built</t>
  </si>
  <si>
    <t xml:space="preserve">Floor Area (sq ft)</t>
  </si>
  <si>
    <t xml:space="preserve">Sprinklered</t>
  </si>
  <si>
    <t xml:space="preserve">Ambiguity / note</t>
  </si>
  <si>
    <t xml:space="preserve">A</t>
  </si>
  <si>
    <t xml:space="preserve">Warehouse/Storage</t>
  </si>
  <si>
    <t xml:space="preserve">Masonry</t>
  </si>
  <si>
    <t xml:space="preserve">Manufacturing</t>
  </si>
  <si>
    <t xml:space="preserve">'Masonary' = typo for Masonry; 'Light industrial' -&gt; Manufacturing</t>
  </si>
  <si>
    <t xml:space="preserve">UNKNOWN</t>
  </si>
  <si>
    <t xml:space="preserve">'£2.4m' text -&gt; 2,400,000; year blank -&gt; UNKNOWN</t>
  </si>
  <si>
    <t xml:space="preserve">'Concrete' ambiguous -&gt; assumed Reinforced Concrete (low confidence)</t>
  </si>
  <si>
    <t xml:space="preserve">Mixed/Other</t>
  </si>
  <si>
    <t xml:space="preserve">'Mixed use' ambiguous; retail-park context suggests Retail</t>
  </si>
  <si>
    <t xml:space="preserve">construction blank -&gt; UNKNOWN (needs enrichment/human)</t>
  </si>
  <si>
    <t xml:space="preserve">B</t>
  </si>
  <si>
    <t xml:space="preserve">145 Briggate, Leeds, LS1 6HW</t>
  </si>
  <si>
    <t xml:space="preserve">GIA 320 sqm -&gt; 3,444 sq ft; 'sprinklers throughout' -&gt; Y</t>
  </si>
  <si>
    <t xml:space="preserve">Trafford Park, Manchester M17 1WA</t>
  </si>
  <si>
    <t xml:space="preserve">free-text -&gt; Steel Frame; 'cash &amp; carry' -&gt; Retail (warehouse-style, ambiguous); 'circa 1988' -&gt; 1988 approx; 'None' -&gt; N</t>
  </si>
  <si>
    <t xml:space="preserve">22 St Marys St, Cardiff CF10 1AT</t>
  </si>
  <si>
    <t xml:space="preserve">Timber Frame</t>
  </si>
  <si>
    <t xml:space="preserve">'TBC' -&gt; UNKNOWN TIV; 'pre-1900' -&gt; UNKNOWN/&lt;1900; listed bldg flag; 'N/A' sprinkler -&gt; UNKNOWN</t>
  </si>
  <si>
    <t xml:space="preserve">Junction 28 Logistics Pk, Derby DE55 4QT</t>
  </si>
  <si>
    <t xml:space="preserve">free-text -&gt; Steel Frame; 'early 90s' vs Age 1993 -&gt; 1993; GIA 14,800 sqm -&gt; 159,306 sq ft</t>
  </si>
  <si>
    <t xml:space="preserve">INCOMPLETE - 'see broker note'</t>
  </si>
  <si>
    <t xml:space="preserve">address incomplete -&gt; flag; 'RC frame' -&gt; Reinforced Concrete; 'office/showroom' -&gt; Mixed/Other; 1,100 sqm -&gt; 11,840 sq ft</t>
  </si>
  <si>
    <t xml:space="preserve">'Concrete' -&gt; assumed RC (low conf); value blank -&gt; UNKNOWN; year blank -&gt; UNKNOWN; 890 sqm -&gt; 9,580 sq ft</t>
  </si>
  <si>
    <t xml:space="preserve">Controlled vocab – Construction:</t>
  </si>
  <si>
    <t xml:space="preserve">{Steel Frame | Reinforced Concrete | Masonry | Timber Frame | UNKNOWN}</t>
  </si>
  <si>
    <t xml:space="preserve">Controlled vocab – Occupancy:</t>
  </si>
  <si>
    <t xml:space="preserve">{Warehouse/Storage | Office | Retail | Restaurant | Manufacturing | Mixed/Other | UNKNOWN}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</si>
</sst>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9C000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26.8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</row>
    <row r="2" customFormat="false" ht="23.85" hidden="false" customHeight="false" outlineLevel="0" collapsed="false">
      <c r="A2" s="5" t="n">
        <v>1</v>
      </c>
      <c r="B2" s="6" t="s">
        <v>37</v>
      </c>
      <c r="C2" s="5" t="n">
        <v>3200000</v>
      </c>
      <c r="D2" s="5" t="s">
        <v>38</v>
      </c>
      <c r="E2" s="5" t="s">
        <v>39</v>
      </c>
      <c r="F2" s="5" t="n">
        <v>2004</v>
      </c>
      <c r="G2" s="5" t="n">
        <v>1</v>
      </c>
      <c r="H2" s="5" t="n">
        <v>45000</v>
      </c>
      <c r="I2" s="5" t="s">
        <v>40</v>
      </c>
    </row>
    <row r="3" customFormat="false" ht="15" hidden="false" customHeight="false" outlineLevel="0" collapsed="false">
      <c r="A3" s="5" t="n">
        <v>2</v>
      </c>
      <c r="B3" s="6" t="s">
        <v>41</v>
      </c>
      <c r="C3" s="5" t="n">
        <v>1850000</v>
      </c>
      <c r="D3" s="5" t="s">
        <v>42</v>
      </c>
      <c r="E3" s="5" t="s">
        <v>43</v>
      </c>
      <c r="F3" s="5" t="n">
        <v>1998</v>
      </c>
      <c r="G3" s="5" t="n">
        <v>2</v>
      </c>
      <c r="H3" s="5" t="n">
        <v>22500</v>
      </c>
      <c r="I3" s="5" t="s">
        <v>40</v>
      </c>
    </row>
    <row r="4" customFormat="false" ht="15" hidden="false" customHeight="false" outlineLevel="0" collapsed="false">
      <c r="A4" s="5" t="n">
        <v>3</v>
      </c>
      <c r="B4" s="6" t="s">
        <v>44</v>
      </c>
      <c r="C4" s="5" t="s">
        <v>45</v>
      </c>
      <c r="D4" s="5" t="s">
        <v>46</v>
      </c>
      <c r="E4" s="5" t="s">
        <v>39</v>
      </c>
      <c r="F4" s="5"/>
      <c r="G4" s="5" t="n">
        <v>1</v>
      </c>
      <c r="H4" s="5" t="n">
        <v>38000</v>
      </c>
      <c r="I4" s="5" t="s">
        <v>47</v>
      </c>
    </row>
    <row r="5" customFormat="false" ht="23.85" hidden="false" customHeight="false" outlineLevel="0" collapsed="false">
      <c r="A5" s="5" t="n">
        <v>4</v>
      </c>
      <c r="B5" s="6" t="s">
        <v>48</v>
      </c>
      <c r="C5" s="5" t="n">
        <v>950000</v>
      </c>
      <c r="D5" s="5" t="s">
        <v>49</v>
      </c>
      <c r="E5" s="5" t="s">
        <v>50</v>
      </c>
      <c r="F5" s="5" t="n">
        <v>1975</v>
      </c>
      <c r="G5" s="5" t="n">
        <v>4</v>
      </c>
      <c r="H5" s="5" t="n">
        <v>12000</v>
      </c>
      <c r="I5" s="5" t="s">
        <v>40</v>
      </c>
    </row>
    <row r="6" customFormat="false" ht="23.85" hidden="false" customHeight="false" outlineLevel="0" collapsed="false">
      <c r="A6" s="5" t="n">
        <v>5</v>
      </c>
      <c r="B6" s="6" t="s">
        <v>51</v>
      </c>
      <c r="C6" s="5" t="n">
        <v>1200000</v>
      </c>
      <c r="D6" s="5" t="s">
        <v>38</v>
      </c>
      <c r="E6" s="5" t="s">
        <v>52</v>
      </c>
      <c r="F6" s="5" t="n">
        <v>2011</v>
      </c>
      <c r="G6" s="5" t="n">
        <v>1</v>
      </c>
      <c r="H6" s="5" t="n">
        <v>15500</v>
      </c>
      <c r="I6" s="5" t="s">
        <v>40</v>
      </c>
    </row>
    <row r="7" customFormat="false" ht="15" hidden="false" customHeight="false" outlineLevel="0" collapsed="false">
      <c r="A7" s="5" t="n">
        <v>6</v>
      </c>
      <c r="B7" s="6" t="s">
        <v>53</v>
      </c>
      <c r="C7" s="5" t="n">
        <v>1600000</v>
      </c>
      <c r="D7" s="5"/>
      <c r="E7" s="5" t="s">
        <v>54</v>
      </c>
      <c r="F7" s="5" t="n">
        <v>1930</v>
      </c>
      <c r="G7" s="5" t="n">
        <v>3</v>
      </c>
      <c r="H7" s="5" t="n">
        <v>9800</v>
      </c>
      <c r="I7" s="5" t="s">
        <v>47</v>
      </c>
    </row>
    <row r="8" customFormat="false" ht="15" hidden="false" customHeight="false" outlineLevel="0" collapsed="false">
      <c r="B8" s="7" t="s">
        <v>55</v>
      </c>
      <c r="C8" s="8" t="n">
        <f aca="false">SUM(C2:C7)</f>
        <v>8800000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20"/>
  </cols>
  <sheetData>
    <row r="1" customFormat="false" ht="16.15" hidden="false" customHeight="false" outlineLevel="0" collapsed="false">
      <c r="A1" s="9" t="s">
        <v>56</v>
      </c>
      <c r="B1" s="9"/>
      <c r="C1" s="9"/>
      <c r="D1" s="9"/>
      <c r="E1" s="9"/>
      <c r="F1" s="9"/>
      <c r="G1" s="9"/>
      <c r="H1" s="9"/>
      <c r="I1" s="9"/>
    </row>
    <row r="2" customFormat="false" ht="15" hidden="false" customHeight="false" outlineLevel="0" collapsed="false">
      <c r="A2" s="10" t="s">
        <v>57</v>
      </c>
    </row>
    <row r="4" customFormat="false" ht="26.85" hidden="false" customHeight="false" outlineLevel="0" collapsed="false">
      <c r="A4" s="4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64</v>
      </c>
      <c r="H4" s="4" t="s">
        <v>65</v>
      </c>
      <c r="I4" s="4" t="s">
        <v>66</v>
      </c>
    </row>
    <row r="5" customFormat="false" ht="30" hidden="false" customHeight="true" outlineLevel="0" collapsed="false">
      <c r="A5" s="5" t="s">
        <v>67</v>
      </c>
      <c r="B5" s="6" t="s">
        <v>68</v>
      </c>
      <c r="C5" s="5" t="n">
        <v>780000</v>
      </c>
      <c r="D5" s="5" t="s">
        <v>69</v>
      </c>
      <c r="E5" s="5" t="s">
        <v>70</v>
      </c>
      <c r="F5" s="5" t="n">
        <v>1962</v>
      </c>
      <c r="G5" s="5" t="n">
        <v>1</v>
      </c>
      <c r="H5" s="5" t="n">
        <v>320</v>
      </c>
      <c r="I5" s="5" t="s">
        <v>71</v>
      </c>
    </row>
    <row r="6" customFormat="false" ht="30" hidden="false" customHeight="true" outlineLevel="0" collapsed="false">
      <c r="A6" s="5" t="s">
        <v>72</v>
      </c>
      <c r="B6" s="6" t="s">
        <v>73</v>
      </c>
      <c r="C6" s="5" t="n">
        <v>4500000</v>
      </c>
      <c r="D6" s="5" t="s">
        <v>74</v>
      </c>
      <c r="E6" s="5" t="s">
        <v>75</v>
      </c>
      <c r="F6" s="5" t="s">
        <v>76</v>
      </c>
      <c r="G6" s="5" t="n">
        <v>1</v>
      </c>
      <c r="H6" s="5" t="n">
        <v>6200</v>
      </c>
      <c r="I6" s="5" t="s">
        <v>77</v>
      </c>
    </row>
    <row r="7" customFormat="false" ht="30" hidden="false" customHeight="true" outlineLevel="0" collapsed="false">
      <c r="A7" s="5" t="s">
        <v>78</v>
      </c>
      <c r="B7" s="6" t="s">
        <v>79</v>
      </c>
      <c r="C7" s="5" t="s">
        <v>80</v>
      </c>
      <c r="D7" s="5" t="s">
        <v>81</v>
      </c>
      <c r="E7" s="5" t="s">
        <v>82</v>
      </c>
      <c r="F7" s="5" t="s">
        <v>83</v>
      </c>
      <c r="G7" s="5" t="n">
        <v>2</v>
      </c>
      <c r="H7" s="5" t="n">
        <v>210</v>
      </c>
      <c r="I7" s="5" t="s">
        <v>84</v>
      </c>
    </row>
    <row r="8" customFormat="false" ht="30" hidden="false" customHeight="true" outlineLevel="0" collapsed="false">
      <c r="A8" s="5" t="s">
        <v>85</v>
      </c>
      <c r="B8" s="6" t="s">
        <v>86</v>
      </c>
      <c r="C8" s="5" t="n">
        <v>9200000</v>
      </c>
      <c r="D8" s="5" t="s">
        <v>87</v>
      </c>
      <c r="E8" s="5" t="s">
        <v>88</v>
      </c>
      <c r="F8" s="5" t="n">
        <v>1993</v>
      </c>
      <c r="G8" s="5" t="n">
        <v>1</v>
      </c>
      <c r="H8" s="5" t="n">
        <v>14800</v>
      </c>
      <c r="I8" s="5" t="s">
        <v>89</v>
      </c>
    </row>
    <row r="9" customFormat="false" ht="30" hidden="false" customHeight="true" outlineLevel="0" collapsed="false">
      <c r="A9" s="5" t="s">
        <v>90</v>
      </c>
      <c r="B9" s="6" t="s">
        <v>91</v>
      </c>
      <c r="C9" s="5" t="n">
        <v>1350000</v>
      </c>
      <c r="D9" s="5" t="s">
        <v>92</v>
      </c>
      <c r="E9" s="5" t="s">
        <v>93</v>
      </c>
      <c r="F9" s="5" t="n">
        <v>2007</v>
      </c>
      <c r="G9" s="5" t="n">
        <v>3</v>
      </c>
      <c r="H9" s="5" t="n">
        <v>1100</v>
      </c>
      <c r="I9" s="5" t="s">
        <v>94</v>
      </c>
    </row>
    <row r="10" customFormat="false" ht="30" hidden="false" customHeight="true" outlineLevel="0" collapsed="false">
      <c r="A10" s="5" t="s">
        <v>95</v>
      </c>
      <c r="B10" s="6" t="s">
        <v>96</v>
      </c>
      <c r="C10" s="5"/>
      <c r="D10" s="5" t="s">
        <v>49</v>
      </c>
      <c r="E10" s="5" t="s">
        <v>97</v>
      </c>
      <c r="F10" s="5"/>
      <c r="G10" s="5" t="n">
        <v>2</v>
      </c>
      <c r="H10" s="5" t="n">
        <v>890</v>
      </c>
      <c r="I10" s="5" t="s">
        <v>98</v>
      </c>
    </row>
    <row r="12" customFormat="false" ht="15" hidden="false" customHeight="false" outlineLevel="0" collapsed="false">
      <c r="B12" s="11" t="s">
        <v>99</v>
      </c>
      <c r="C12" s="8" t="n">
        <v>16200000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46"/>
  </cols>
  <sheetData>
    <row r="1" customFormat="false" ht="15" hidden="false" customHeight="false" outlineLevel="0" collapsed="false">
      <c r="A1" s="12" t="s">
        <v>100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26.85" hidden="false" customHeight="false" outlineLevel="0" collapsed="false">
      <c r="A3" s="4" t="s">
        <v>101</v>
      </c>
      <c r="B3" s="4" t="s">
        <v>58</v>
      </c>
      <c r="C3" s="4" t="s">
        <v>102</v>
      </c>
      <c r="D3" s="4" t="s">
        <v>103</v>
      </c>
      <c r="E3" s="4" t="s">
        <v>104</v>
      </c>
      <c r="F3" s="4" t="s">
        <v>105</v>
      </c>
      <c r="G3" s="4" t="s">
        <v>106</v>
      </c>
      <c r="H3" s="4" t="s">
        <v>64</v>
      </c>
      <c r="I3" s="4" t="s">
        <v>107</v>
      </c>
      <c r="J3" s="4" t="s">
        <v>108</v>
      </c>
      <c r="K3" s="4" t="s">
        <v>109</v>
      </c>
    </row>
    <row r="4" customFormat="false" ht="23.85" hidden="false" customHeight="false" outlineLevel="0" collapsed="false">
      <c r="A4" s="5" t="s">
        <v>110</v>
      </c>
      <c r="B4" s="5" t="n">
        <v>1</v>
      </c>
      <c r="C4" s="6" t="s">
        <v>37</v>
      </c>
      <c r="D4" s="13" t="n">
        <v>3200000</v>
      </c>
      <c r="E4" s="5" t="s">
        <v>38</v>
      </c>
      <c r="F4" s="5" t="s">
        <v>111</v>
      </c>
      <c r="G4" s="5" t="n">
        <v>2004</v>
      </c>
      <c r="H4" s="5" t="n">
        <v>1</v>
      </c>
      <c r="I4" s="13" t="n">
        <v>45000</v>
      </c>
      <c r="J4" s="5" t="s">
        <v>40</v>
      </c>
      <c r="K4" s="6"/>
    </row>
    <row r="5" customFormat="false" ht="23.85" hidden="false" customHeight="false" outlineLevel="0" collapsed="false">
      <c r="A5" s="5" t="s">
        <v>110</v>
      </c>
      <c r="B5" s="5" t="n">
        <v>2</v>
      </c>
      <c r="C5" s="6" t="s">
        <v>41</v>
      </c>
      <c r="D5" s="13" t="n">
        <v>1850000</v>
      </c>
      <c r="E5" s="5" t="s">
        <v>112</v>
      </c>
      <c r="F5" s="5" t="s">
        <v>113</v>
      </c>
      <c r="G5" s="5" t="n">
        <v>1998</v>
      </c>
      <c r="H5" s="5" t="n">
        <v>2</v>
      </c>
      <c r="I5" s="13" t="n">
        <v>22500</v>
      </c>
      <c r="J5" s="5" t="s">
        <v>40</v>
      </c>
      <c r="K5" s="6" t="s">
        <v>114</v>
      </c>
    </row>
    <row r="6" customFormat="false" ht="15" hidden="false" customHeight="false" outlineLevel="0" collapsed="false">
      <c r="A6" s="5" t="s">
        <v>110</v>
      </c>
      <c r="B6" s="5" t="n">
        <v>3</v>
      </c>
      <c r="C6" s="6" t="s">
        <v>44</v>
      </c>
      <c r="D6" s="13" t="n">
        <v>2400000</v>
      </c>
      <c r="E6" s="5" t="s">
        <v>46</v>
      </c>
      <c r="F6" s="5" t="s">
        <v>111</v>
      </c>
      <c r="G6" s="5" t="s">
        <v>115</v>
      </c>
      <c r="H6" s="5" t="n">
        <v>1</v>
      </c>
      <c r="I6" s="13" t="n">
        <v>38000</v>
      </c>
      <c r="J6" s="5" t="s">
        <v>47</v>
      </c>
      <c r="K6" s="6" t="s">
        <v>116</v>
      </c>
    </row>
    <row r="7" customFormat="false" ht="23.85" hidden="false" customHeight="false" outlineLevel="0" collapsed="false">
      <c r="A7" s="5" t="s">
        <v>110</v>
      </c>
      <c r="B7" s="5" t="n">
        <v>4</v>
      </c>
      <c r="C7" s="6" t="s">
        <v>48</v>
      </c>
      <c r="D7" s="13" t="n">
        <v>950000</v>
      </c>
      <c r="E7" s="5" t="s">
        <v>46</v>
      </c>
      <c r="F7" s="5" t="s">
        <v>50</v>
      </c>
      <c r="G7" s="5" t="n">
        <v>1975</v>
      </c>
      <c r="H7" s="5" t="n">
        <v>4</v>
      </c>
      <c r="I7" s="13" t="n">
        <v>12000</v>
      </c>
      <c r="J7" s="5" t="s">
        <v>40</v>
      </c>
      <c r="K7" s="6" t="s">
        <v>117</v>
      </c>
    </row>
    <row r="8" customFormat="false" ht="23.85" hidden="false" customHeight="false" outlineLevel="0" collapsed="false">
      <c r="A8" s="5" t="s">
        <v>110</v>
      </c>
      <c r="B8" s="5" t="n">
        <v>5</v>
      </c>
      <c r="C8" s="6" t="s">
        <v>51</v>
      </c>
      <c r="D8" s="13" t="n">
        <v>1200000</v>
      </c>
      <c r="E8" s="5" t="s">
        <v>38</v>
      </c>
      <c r="F8" s="5" t="s">
        <v>118</v>
      </c>
      <c r="G8" s="5" t="n">
        <v>2011</v>
      </c>
      <c r="H8" s="5" t="n">
        <v>1</v>
      </c>
      <c r="I8" s="13" t="n">
        <v>15500</v>
      </c>
      <c r="J8" s="5" t="s">
        <v>40</v>
      </c>
      <c r="K8" s="6" t="s">
        <v>119</v>
      </c>
    </row>
    <row r="9" customFormat="false" ht="23.85" hidden="false" customHeight="false" outlineLevel="0" collapsed="false">
      <c r="A9" s="5" t="s">
        <v>110</v>
      </c>
      <c r="B9" s="5" t="n">
        <v>6</v>
      </c>
      <c r="C9" s="6" t="s">
        <v>53</v>
      </c>
      <c r="D9" s="13" t="n">
        <v>1600000</v>
      </c>
      <c r="E9" s="5" t="s">
        <v>115</v>
      </c>
      <c r="F9" s="5" t="s">
        <v>54</v>
      </c>
      <c r="G9" s="5" t="n">
        <v>1930</v>
      </c>
      <c r="H9" s="5" t="n">
        <v>3</v>
      </c>
      <c r="I9" s="13" t="n">
        <v>9800</v>
      </c>
      <c r="J9" s="5" t="s">
        <v>47</v>
      </c>
      <c r="K9" s="6" t="s">
        <v>120</v>
      </c>
    </row>
    <row r="10" customFormat="false" ht="15" hidden="false" customHeight="false" outlineLevel="0" collapsed="false">
      <c r="A10" s="5" t="s">
        <v>121</v>
      </c>
      <c r="B10" s="5" t="s">
        <v>67</v>
      </c>
      <c r="C10" s="6" t="s">
        <v>122</v>
      </c>
      <c r="D10" s="13" t="n">
        <v>780000</v>
      </c>
      <c r="E10" s="5" t="s">
        <v>112</v>
      </c>
      <c r="F10" s="5" t="s">
        <v>54</v>
      </c>
      <c r="G10" s="5" t="n">
        <v>1962</v>
      </c>
      <c r="H10" s="5" t="n">
        <v>1</v>
      </c>
      <c r="I10" s="13" t="n">
        <v>3444</v>
      </c>
      <c r="J10" s="5" t="s">
        <v>40</v>
      </c>
      <c r="K10" s="6" t="s">
        <v>123</v>
      </c>
    </row>
    <row r="11" customFormat="false" ht="35.05" hidden="false" customHeight="false" outlineLevel="0" collapsed="false">
      <c r="A11" s="5" t="s">
        <v>121</v>
      </c>
      <c r="B11" s="5" t="s">
        <v>72</v>
      </c>
      <c r="C11" s="6" t="s">
        <v>124</v>
      </c>
      <c r="D11" s="13" t="n">
        <v>4500000</v>
      </c>
      <c r="E11" s="5" t="s">
        <v>38</v>
      </c>
      <c r="F11" s="5" t="s">
        <v>54</v>
      </c>
      <c r="G11" s="5" t="n">
        <v>1988</v>
      </c>
      <c r="H11" s="5" t="n">
        <v>1</v>
      </c>
      <c r="I11" s="13" t="n">
        <v>66736</v>
      </c>
      <c r="J11" s="5" t="s">
        <v>47</v>
      </c>
      <c r="K11" s="6" t="s">
        <v>125</v>
      </c>
    </row>
    <row r="12" customFormat="false" ht="35.05" hidden="false" customHeight="false" outlineLevel="0" collapsed="false">
      <c r="A12" s="5" t="s">
        <v>121</v>
      </c>
      <c r="B12" s="5" t="s">
        <v>78</v>
      </c>
      <c r="C12" s="6" t="s">
        <v>126</v>
      </c>
      <c r="D12" s="5" t="s">
        <v>115</v>
      </c>
      <c r="E12" s="5" t="s">
        <v>127</v>
      </c>
      <c r="F12" s="5" t="s">
        <v>82</v>
      </c>
      <c r="G12" s="5" t="s">
        <v>115</v>
      </c>
      <c r="H12" s="5" t="n">
        <v>2</v>
      </c>
      <c r="I12" s="13" t="n">
        <v>2260</v>
      </c>
      <c r="J12" s="5" t="s">
        <v>115</v>
      </c>
      <c r="K12" s="6" t="s">
        <v>128</v>
      </c>
    </row>
    <row r="13" customFormat="false" ht="23.85" hidden="false" customHeight="false" outlineLevel="0" collapsed="false">
      <c r="A13" s="5" t="s">
        <v>121</v>
      </c>
      <c r="B13" s="5" t="s">
        <v>85</v>
      </c>
      <c r="C13" s="6" t="s">
        <v>129</v>
      </c>
      <c r="D13" s="13" t="n">
        <v>9200000</v>
      </c>
      <c r="E13" s="5" t="s">
        <v>38</v>
      </c>
      <c r="F13" s="5" t="s">
        <v>111</v>
      </c>
      <c r="G13" s="5" t="n">
        <v>1993</v>
      </c>
      <c r="H13" s="5" t="n">
        <v>1</v>
      </c>
      <c r="I13" s="13" t="n">
        <v>159306</v>
      </c>
      <c r="J13" s="5" t="s">
        <v>40</v>
      </c>
      <c r="K13" s="6" t="s">
        <v>130</v>
      </c>
    </row>
    <row r="14" customFormat="false" ht="35.05" hidden="false" customHeight="false" outlineLevel="0" collapsed="false">
      <c r="A14" s="5" t="s">
        <v>121</v>
      </c>
      <c r="B14" s="5" t="s">
        <v>90</v>
      </c>
      <c r="C14" s="6" t="s">
        <v>131</v>
      </c>
      <c r="D14" s="13" t="n">
        <v>1350000</v>
      </c>
      <c r="E14" s="5" t="s">
        <v>46</v>
      </c>
      <c r="F14" s="5" t="s">
        <v>118</v>
      </c>
      <c r="G14" s="5" t="n">
        <v>2007</v>
      </c>
      <c r="H14" s="5" t="n">
        <v>3</v>
      </c>
      <c r="I14" s="13" t="n">
        <v>11840</v>
      </c>
      <c r="J14" s="5" t="s">
        <v>40</v>
      </c>
      <c r="K14" s="6" t="s">
        <v>132</v>
      </c>
    </row>
    <row r="15" customFormat="false" ht="35.05" hidden="false" customHeight="false" outlineLevel="0" collapsed="false">
      <c r="A15" s="5" t="s">
        <v>121</v>
      </c>
      <c r="B15" s="5" t="s">
        <v>95</v>
      </c>
      <c r="C15" s="6" t="s">
        <v>96</v>
      </c>
      <c r="D15" s="5" t="s">
        <v>115</v>
      </c>
      <c r="E15" s="5" t="s">
        <v>46</v>
      </c>
      <c r="F15" s="5" t="s">
        <v>113</v>
      </c>
      <c r="G15" s="5" t="s">
        <v>115</v>
      </c>
      <c r="H15" s="5" t="n">
        <v>2</v>
      </c>
      <c r="I15" s="13" t="n">
        <v>9580</v>
      </c>
      <c r="J15" s="5" t="s">
        <v>115</v>
      </c>
      <c r="K15" s="6" t="s">
        <v>133</v>
      </c>
    </row>
    <row r="17" customFormat="false" ht="15" hidden="false" customHeight="false" outlineLevel="0" collapsed="false">
      <c r="C17" s="11" t="s">
        <v>134</v>
      </c>
      <c r="E17" s="11" t="s">
        <v>135</v>
      </c>
    </row>
    <row r="18" customFormat="false" ht="15" hidden="false" customHeight="false" outlineLevel="0" collapsed="false">
      <c r="C18" s="11" t="s">
        <v>136</v>
      </c>
      <c r="E18" s="11" t="s">
        <v>137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2026-08-03T17:54:51Z</dcterms:created>
  <dc:creator>openpyxl</dc:creator>
  <dc:description/>
  <dc:language>en-US</dc:language>
  <cp:lastModifiedBy/>
  <dcterms:modified xsi:type="dcterms:W3CDTF">2026-08-03T17:54:51Z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